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jah\Documents\KiCad\9.0\projects\STM32 Microcontroller Board\STM32 Microcontroller Board\"/>
    </mc:Choice>
  </mc:AlternateContent>
  <xr:revisionPtr revIDLastSave="0" documentId="13_ncr:1_{1282888E-A6FB-4493-938D-0A408611975F}" xr6:coauthVersionLast="47" xr6:coauthVersionMax="47" xr10:uidLastSave="{00000000-0000-0000-0000-000000000000}"/>
  <bookViews>
    <workbookView xWindow="-120" yWindow="-120" windowWidth="29040" windowHeight="15720" activeTab="2" xr2:uid="{09059CB2-B047-49BC-A9FC-7E5F3CE728EB}"/>
  </bookViews>
  <sheets>
    <sheet name="BOM" sheetId="1" r:id="rId1"/>
    <sheet name="Comparison" sheetId="2" r:id="rId2"/>
    <sheet name="Requirements" sheetId="3" r:id="rId3"/>
  </sheets>
  <definedNames>
    <definedName name="_xlnm._FilterDatabase" localSheetId="0" hidden="1">BOM!$A$1:$I$1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4" i="1" l="1"/>
</calcChain>
</file>

<file path=xl/sharedStrings.xml><?xml version="1.0" encoding="utf-8"?>
<sst xmlns="http://schemas.openxmlformats.org/spreadsheetml/2006/main" count="164" uniqueCount="139">
  <si>
    <t>Ref Des</t>
  </si>
  <si>
    <t>MPN</t>
  </si>
  <si>
    <t>Make</t>
  </si>
  <si>
    <t>Sr.No</t>
  </si>
  <si>
    <t>Value</t>
  </si>
  <si>
    <t>R2</t>
  </si>
  <si>
    <t>R3</t>
  </si>
  <si>
    <t>R4</t>
  </si>
  <si>
    <t>R22</t>
  </si>
  <si>
    <t>D1</t>
  </si>
  <si>
    <t>X1</t>
  </si>
  <si>
    <t>D2</t>
  </si>
  <si>
    <t>U2</t>
  </si>
  <si>
    <t>U1</t>
  </si>
  <si>
    <t>R1, R5, R6, R14</t>
  </si>
  <si>
    <t>R7, R15</t>
  </si>
  <si>
    <t>R8, R16</t>
  </si>
  <si>
    <t>R9, R17</t>
  </si>
  <si>
    <t>R10, R18</t>
  </si>
  <si>
    <t>R11, R19</t>
  </si>
  <si>
    <t>R12, R20</t>
  </si>
  <si>
    <t>C5</t>
  </si>
  <si>
    <t>D3</t>
  </si>
  <si>
    <t>R13, R21, R23, R24</t>
  </si>
  <si>
    <t>R25, R26, R27, R28</t>
  </si>
  <si>
    <t>C6, C7</t>
  </si>
  <si>
    <t>C2, C4, C8</t>
  </si>
  <si>
    <t>C1, C3, C9, C10</t>
  </si>
  <si>
    <t>Texas Instruments</t>
  </si>
  <si>
    <t>Qty</t>
  </si>
  <si>
    <t>J1, J2</t>
  </si>
  <si>
    <t>X2</t>
  </si>
  <si>
    <t>J3</t>
  </si>
  <si>
    <t>Alternates/Substitutes</t>
  </si>
  <si>
    <t>D5</t>
  </si>
  <si>
    <t>D4</t>
  </si>
  <si>
    <t>Total Cost</t>
  </si>
  <si>
    <t>Shipping cost</t>
  </si>
  <si>
    <t>Total cost</t>
  </si>
  <si>
    <t>DP83826IRHBR</t>
  </si>
  <si>
    <t>LOW COST ENET PHY INDUSTRIAL</t>
  </si>
  <si>
    <t>Id</t>
  </si>
  <si>
    <t>Vds</t>
  </si>
  <si>
    <t>Qc</t>
  </si>
  <si>
    <t>Pd</t>
  </si>
  <si>
    <t>Rja</t>
  </si>
  <si>
    <t>IRLML6344TRPBF</t>
  </si>
  <si>
    <t>30V</t>
  </si>
  <si>
    <t>5A</t>
  </si>
  <si>
    <t>1.3W</t>
  </si>
  <si>
    <t>6.8nC</t>
  </si>
  <si>
    <t>1.1V</t>
  </si>
  <si>
    <t>Vgs(th) max</t>
  </si>
  <si>
    <t>Cost</t>
  </si>
  <si>
    <t>34mohm</t>
  </si>
  <si>
    <t>Rds ON @ 3.3V</t>
  </si>
  <si>
    <t>Tf</t>
  </si>
  <si>
    <t>Tr</t>
  </si>
  <si>
    <t>Td Off</t>
  </si>
  <si>
    <t>Td On</t>
  </si>
  <si>
    <t>32ns</t>
  </si>
  <si>
    <t>100 C/W</t>
  </si>
  <si>
    <t>Infenion</t>
  </si>
  <si>
    <t>4.2ns</t>
  </si>
  <si>
    <t>22ns</t>
  </si>
  <si>
    <t>5.6ns</t>
  </si>
  <si>
    <t>9.1ns</t>
  </si>
  <si>
    <t>DMN3053L</t>
  </si>
  <si>
    <t>Diodes</t>
  </si>
  <si>
    <t>4A</t>
  </si>
  <si>
    <t>0.76W</t>
  </si>
  <si>
    <t>7.3nC</t>
  </si>
  <si>
    <t>1.4V</t>
  </si>
  <si>
    <t>52mohm</t>
  </si>
  <si>
    <t>2ns</t>
  </si>
  <si>
    <t>152ns</t>
  </si>
  <si>
    <t>5.5ns</t>
  </si>
  <si>
    <t>0.77W</t>
  </si>
  <si>
    <t>162 C/W</t>
  </si>
  <si>
    <t>1.5V</t>
  </si>
  <si>
    <t>75mohm</t>
  </si>
  <si>
    <t>5.5nC</t>
  </si>
  <si>
    <t>1.9ns</t>
  </si>
  <si>
    <t>10.3ns</t>
  </si>
  <si>
    <t>1.6ns</t>
  </si>
  <si>
    <t>DMN3065LW-7</t>
  </si>
  <si>
    <t>DMG3402L-7</t>
  </si>
  <si>
    <t>1.4W</t>
  </si>
  <si>
    <t>90 C/W</t>
  </si>
  <si>
    <t>90mohm</t>
  </si>
  <si>
    <t>3.5ns</t>
  </si>
  <si>
    <t>DMN3150L-7</t>
  </si>
  <si>
    <t>3.8A</t>
  </si>
  <si>
    <t>8.2nC</t>
  </si>
  <si>
    <t>1.14ns</t>
  </si>
  <si>
    <t>15ns</t>
  </si>
  <si>
    <t>3.3ns</t>
  </si>
  <si>
    <t>LED MOSFETs</t>
  </si>
  <si>
    <t>MOSFETs MOSFT 5.0A 29mOhm 30V 2.5V drv capable</t>
  </si>
  <si>
    <t>Infineon Technologies</t>
  </si>
  <si>
    <t>Shunt resistor</t>
  </si>
  <si>
    <t>20mohm, &gt;=3W(5W preferred)</t>
  </si>
  <si>
    <t xml:space="preserve">Current Limit </t>
  </si>
  <si>
    <t>10A</t>
  </si>
  <si>
    <t xml:space="preserve">Fault Current </t>
  </si>
  <si>
    <t>Vshunt = 100mV</t>
  </si>
  <si>
    <t>Vshunt = 200mV</t>
  </si>
  <si>
    <t>Current sensing for LED Drivers with internal ADC</t>
  </si>
  <si>
    <t>Gain</t>
  </si>
  <si>
    <t>0 to 10A</t>
  </si>
  <si>
    <t>0 to 2V</t>
  </si>
  <si>
    <t>Map</t>
  </si>
  <si>
    <t>10x</t>
  </si>
  <si>
    <t>Filtering</t>
  </si>
  <si>
    <t>2nd order LPF</t>
  </si>
  <si>
    <t>Values</t>
  </si>
  <si>
    <t>R=2.2kohm, C=0.47nF</t>
  </si>
  <si>
    <t>Use OPAMP TLV9001 with non inverting amplifier config</t>
  </si>
  <si>
    <t>230V Power Control</t>
  </si>
  <si>
    <t>Use ULN2803CDWR</t>
  </si>
  <si>
    <t>COM-&gt;VDD for SSR, NC for Mech relay</t>
  </si>
  <si>
    <t>12V adaptor for LED and relay control</t>
  </si>
  <si>
    <t>Board Power</t>
  </si>
  <si>
    <t>12V only for relays and LED</t>
  </si>
  <si>
    <t>Diode OR USB FS and Debugger USB Vbus</t>
  </si>
  <si>
    <t>Leave PH5 unconnected. Or pull it down weakly</t>
  </si>
  <si>
    <t>OTG_FS_PowerSwitchOn (PH5)</t>
  </si>
  <si>
    <t>Use low-Vf Schottky: SS14 / PMEG2010 / BAT54S (dual) - ≥1 A rating (USB + LED logic load)</t>
  </si>
  <si>
    <t>Do NOT connect PA9 (VBUS sense) through diode. Connect directly</t>
  </si>
  <si>
    <t>STLINK_VBUS ──|&gt;|──┐</t>
  </si>
  <si>
    <t>USB_FS_VBUS ──|&gt;|──┘</t>
  </si>
  <si>
    <t>12V_ADAPTER ────────────► LED MOSFETs</t>
  </si>
  <si>
    <t>EXT_5V In/ Out ──────┘</t>
  </si>
  <si>
    <t xml:space="preserve">                        └─────────────► SSR Relay board</t>
  </si>
  <si>
    <t xml:space="preserve">                                           +5V_BOARD ── LDO ── 3V3 (STM32)</t>
  </si>
  <si>
    <t>RJMG1S8008101BR</t>
  </si>
  <si>
    <t>Amphenol ICC (Commercial Products)</t>
  </si>
  <si>
    <t>CONN JACK 1PORT PCB</t>
  </si>
  <si>
    <t>LED strip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</si>
</sst>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_ [$₹-4009]\ * #,##0_ ;_ [$₹-4009]\ * \-#,##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left"/>
    </xf>
    <xf numFmtId="164" fontId="0" fillId="0" borderId="0" xfId="0" applyNumberFormat="1"/>
    <xf numFmtId="164" fontId="1" fillId="2" borderId="1" xfId="0" applyNumberFormat="1" applyFont="1" applyFill="1" applyBorder="1"/>
    <xf numFmtId="164" fontId="0" fillId="0" borderId="1" xfId="0" applyNumberFormat="1" applyBorder="1"/>
    <xf numFmtId="0" fontId="1" fillId="0" borderId="0" xfId="0" applyFont="1"/>
    <xf numFmtId="165" fontId="0" fillId="0" borderId="0" xfId="0" applyNumberFormat="1"/>
    <xf numFmtId="0" fontId="1" fillId="0" borderId="2" xfId="0" applyFont="1" applyBorder="1"/>
    <xf numFmtId="165" fontId="1" fillId="0" borderId="2" xfId="0" applyNumberFormat="1" applyFont="1" applyBorder="1"/>
    <xf numFmtId="0" fontId="0" fillId="0" borderId="4" xfId="0" applyBorder="1"/>
    <xf numFmtId="0" fontId="0" fillId="0" borderId="4" xfId="0" applyBorder="1" applyAlignment="1">
      <alignment wrapText="1"/>
    </xf>
    <xf numFmtId="165" fontId="0" fillId="0" borderId="5" xfId="0" applyNumberFormat="1" applyBorder="1"/>
    <xf numFmtId="0" fontId="0" fillId="0" borderId="6" xfId="0" applyBorder="1"/>
    <xf numFmtId="165" fontId="0" fillId="0" borderId="7" xfId="0" applyNumberFormat="1" applyBorder="1"/>
    <xf numFmtId="0" fontId="0" fillId="0" borderId="8" xfId="0" applyBorder="1"/>
    <xf numFmtId="0" fontId="0" fillId="0" borderId="9" xfId="0" applyBorder="1"/>
    <xf numFmtId="165" fontId="0" fillId="0" borderId="10" xfId="0" applyNumberFormat="1" applyBorder="1"/>
    <xf numFmtId="0" fontId="0" fillId="3" borderId="3" xfId="0" applyFill="1" applyBorder="1"/>
    <xf numFmtId="17" fontId="0" fillId="0" borderId="0" xfId="0" applyNumberForma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0" fillId="0" borderId="20" xfId="0" applyBorder="1"/>
    <xf numFmtId="0" fontId="0" fillId="0" borderId="2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BAE5-7872-4769-9B4A-5A7E0BBFE69F}">
  <dimension ref="A1:I34"/>
  <sheetViews>
    <sheetView workbookViewId="0">
      <selection activeCell="D25" sqref="D25"/>
    </sheetView>
  </sheetViews>
  <sheetFormatPr defaultRowHeight="15" x14ac:dyDescent="0.25"/>
  <cols>
    <col min="1" max="1" width="9.140625" style="3"/>
    <col min="2" max="2" width="16.7109375" bestFit="1" customWidth="1"/>
    <col min="3" max="3" width="9.42578125" style="3" customWidth="1"/>
    <col min="4" max="4" width="48.140625" bestFit="1" customWidth="1"/>
    <col min="5" max="5" width="21.7109375" style="8" bestFit="1" customWidth="1"/>
    <col min="6" max="6" width="26" bestFit="1" customWidth="1"/>
    <col min="7" max="7" width="21.5703125" bestFit="1" customWidth="1"/>
    <col min="8" max="8" width="16.140625" bestFit="1" customWidth="1"/>
    <col min="9" max="9" width="12" style="10" bestFit="1" customWidth="1"/>
  </cols>
  <sheetData>
    <row r="1" spans="1:9" x14ac:dyDescent="0.25">
      <c r="A1" s="4" t="s">
        <v>3</v>
      </c>
      <c r="B1" s="5" t="s">
        <v>0</v>
      </c>
      <c r="C1" s="4" t="s">
        <v>29</v>
      </c>
      <c r="D1" s="5" t="s">
        <v>4</v>
      </c>
      <c r="E1" s="6" t="s">
        <v>1</v>
      </c>
      <c r="F1" s="5" t="s">
        <v>2</v>
      </c>
      <c r="G1" s="5" t="s">
        <v>33</v>
      </c>
      <c r="H1" s="5" t="s">
        <v>2</v>
      </c>
      <c r="I1" s="11" t="s">
        <v>36</v>
      </c>
    </row>
    <row r="2" spans="1:9" x14ac:dyDescent="0.25">
      <c r="A2" s="2">
        <v>1</v>
      </c>
      <c r="B2" s="1" t="s">
        <v>27</v>
      </c>
      <c r="C2" s="2"/>
      <c r="D2" s="1"/>
      <c r="E2" s="7"/>
      <c r="F2" s="1"/>
      <c r="G2" s="1"/>
      <c r="H2" s="1"/>
      <c r="I2" s="12"/>
    </row>
    <row r="3" spans="1:9" x14ac:dyDescent="0.25">
      <c r="A3" s="2">
        <v>2</v>
      </c>
      <c r="B3" s="1" t="s">
        <v>26</v>
      </c>
      <c r="C3" s="2"/>
      <c r="D3" s="1"/>
      <c r="E3" s="7"/>
      <c r="F3" s="1"/>
      <c r="G3" s="1"/>
      <c r="H3" s="1"/>
      <c r="I3" s="12"/>
    </row>
    <row r="4" spans="1:9" x14ac:dyDescent="0.25">
      <c r="A4" s="2">
        <v>3</v>
      </c>
      <c r="B4" s="1" t="s">
        <v>21</v>
      </c>
      <c r="C4" s="2"/>
      <c r="D4" s="1"/>
      <c r="E4" s="7"/>
      <c r="F4" s="1"/>
      <c r="G4" s="1"/>
      <c r="H4" s="1"/>
      <c r="I4" s="12"/>
    </row>
    <row r="5" spans="1:9" x14ac:dyDescent="0.25">
      <c r="A5" s="2">
        <v>4</v>
      </c>
      <c r="B5" s="1" t="s">
        <v>25</v>
      </c>
      <c r="C5" s="2"/>
      <c r="D5" s="1"/>
      <c r="E5" s="7"/>
      <c r="F5" s="1"/>
      <c r="G5" s="1"/>
      <c r="H5" s="1"/>
      <c r="I5" s="12"/>
    </row>
    <row r="6" spans="1:9" x14ac:dyDescent="0.25">
      <c r="A6" s="2">
        <v>5</v>
      </c>
      <c r="B6" s="1" t="s">
        <v>9</v>
      </c>
      <c r="C6" s="2"/>
      <c r="D6" s="1"/>
      <c r="G6" s="1"/>
      <c r="H6" s="1"/>
      <c r="I6" s="12"/>
    </row>
    <row r="7" spans="1:9" x14ac:dyDescent="0.25">
      <c r="A7" s="2">
        <v>6</v>
      </c>
      <c r="B7" s="1" t="s">
        <v>11</v>
      </c>
      <c r="C7" s="2"/>
      <c r="D7" s="1"/>
      <c r="E7" s="7"/>
      <c r="F7" s="1"/>
      <c r="G7" s="1"/>
      <c r="H7" s="1"/>
      <c r="I7" s="12"/>
    </row>
    <row r="8" spans="1:9" x14ac:dyDescent="0.25">
      <c r="A8" s="2">
        <v>7</v>
      </c>
      <c r="B8" s="1" t="s">
        <v>22</v>
      </c>
      <c r="C8" s="2"/>
      <c r="D8" s="1"/>
      <c r="E8" s="7"/>
      <c r="F8" s="1"/>
      <c r="G8" s="1"/>
      <c r="H8" s="1"/>
      <c r="I8" s="12"/>
    </row>
    <row r="9" spans="1:9" x14ac:dyDescent="0.25">
      <c r="A9" s="2">
        <v>8</v>
      </c>
      <c r="B9" s="1" t="s">
        <v>35</v>
      </c>
      <c r="C9" s="2"/>
      <c r="D9" s="1"/>
      <c r="E9" s="7"/>
      <c r="F9" s="1"/>
      <c r="G9" s="1"/>
      <c r="H9" s="1"/>
      <c r="I9" s="12"/>
    </row>
    <row r="10" spans="1:9" x14ac:dyDescent="0.25">
      <c r="A10" s="2">
        <v>9</v>
      </c>
      <c r="B10" s="1" t="s">
        <v>34</v>
      </c>
      <c r="C10" s="2"/>
      <c r="D10" s="1"/>
      <c r="E10" s="7"/>
      <c r="F10" s="1"/>
      <c r="G10" s="1"/>
      <c r="H10" s="1"/>
      <c r="I10" s="12"/>
    </row>
    <row r="11" spans="1:9" x14ac:dyDescent="0.25">
      <c r="A11" s="2">
        <v>10</v>
      </c>
      <c r="B11" s="1" t="s">
        <v>13</v>
      </c>
      <c r="C11" s="2">
        <v>1</v>
      </c>
      <c r="D11" s="1" t="s">
        <v>40</v>
      </c>
      <c r="E11" s="7" t="s">
        <v>39</v>
      </c>
      <c r="F11" s="1" t="s">
        <v>28</v>
      </c>
      <c r="G11" s="1"/>
      <c r="H11" s="1"/>
      <c r="I11" s="12"/>
    </row>
    <row r="12" spans="1:9" x14ac:dyDescent="0.25">
      <c r="A12" s="2">
        <v>11</v>
      </c>
      <c r="B12" s="1" t="s">
        <v>12</v>
      </c>
      <c r="C12" s="2">
        <v>3</v>
      </c>
      <c r="D12" s="1" t="s">
        <v>98</v>
      </c>
      <c r="E12" s="7" t="s">
        <v>46</v>
      </c>
      <c r="F12" s="1" t="s">
        <v>99</v>
      </c>
      <c r="G12" s="1"/>
      <c r="H12" s="1"/>
      <c r="I12" s="12"/>
    </row>
    <row r="13" spans="1:9" x14ac:dyDescent="0.25">
      <c r="A13" s="2">
        <v>12</v>
      </c>
      <c r="B13" s="1" t="s">
        <v>14</v>
      </c>
      <c r="C13" s="2"/>
      <c r="D13" s="1"/>
      <c r="E13" s="7"/>
      <c r="F13" s="1"/>
      <c r="G13" s="1"/>
      <c r="H13" s="1"/>
      <c r="I13" s="12"/>
    </row>
    <row r="14" spans="1:9" x14ac:dyDescent="0.25">
      <c r="A14" s="2">
        <v>13</v>
      </c>
      <c r="B14" s="1" t="s">
        <v>5</v>
      </c>
      <c r="C14" s="2"/>
      <c r="D14" s="1"/>
      <c r="E14" s="7"/>
      <c r="F14" s="1"/>
      <c r="G14" s="1"/>
      <c r="H14" s="1"/>
      <c r="I14" s="12"/>
    </row>
    <row r="15" spans="1:9" x14ac:dyDescent="0.25">
      <c r="A15" s="2">
        <v>14</v>
      </c>
      <c r="B15" s="1" t="s">
        <v>6</v>
      </c>
      <c r="C15" s="2"/>
      <c r="D15" s="1"/>
      <c r="E15" s="7"/>
      <c r="F15" s="1"/>
      <c r="G15" s="1"/>
      <c r="H15" s="1"/>
      <c r="I15" s="12"/>
    </row>
    <row r="16" spans="1:9" x14ac:dyDescent="0.25">
      <c r="A16" s="2">
        <v>15</v>
      </c>
      <c r="B16" s="1" t="s">
        <v>7</v>
      </c>
      <c r="C16" s="2"/>
      <c r="D16" s="1"/>
      <c r="E16" s="7"/>
      <c r="F16" s="1"/>
      <c r="G16" s="1"/>
      <c r="H16" s="1"/>
      <c r="I16" s="12"/>
    </row>
    <row r="17" spans="1:9" x14ac:dyDescent="0.25">
      <c r="A17" s="2">
        <v>16</v>
      </c>
      <c r="B17" s="1" t="s">
        <v>15</v>
      </c>
      <c r="C17" s="2"/>
      <c r="D17" s="1"/>
      <c r="E17" s="7"/>
      <c r="F17" s="1"/>
      <c r="G17" s="1"/>
      <c r="H17" s="1"/>
      <c r="I17" s="12"/>
    </row>
    <row r="18" spans="1:9" x14ac:dyDescent="0.25">
      <c r="A18" s="2">
        <v>17</v>
      </c>
      <c r="B18" s="1" t="s">
        <v>16</v>
      </c>
      <c r="C18" s="2"/>
      <c r="D18" s="1"/>
      <c r="E18" s="7"/>
      <c r="F18" s="1"/>
      <c r="G18" s="1"/>
      <c r="H18" s="1"/>
      <c r="I18" s="12"/>
    </row>
    <row r="19" spans="1:9" x14ac:dyDescent="0.25">
      <c r="A19" s="2">
        <v>18</v>
      </c>
      <c r="B19" s="1" t="s">
        <v>17</v>
      </c>
      <c r="C19" s="2"/>
      <c r="D19" s="1"/>
      <c r="E19" s="7"/>
      <c r="F19" s="1"/>
      <c r="G19" s="1"/>
      <c r="H19" s="1"/>
      <c r="I19" s="12"/>
    </row>
    <row r="20" spans="1:9" x14ac:dyDescent="0.25">
      <c r="A20" s="2">
        <v>19</v>
      </c>
      <c r="B20" s="1" t="s">
        <v>18</v>
      </c>
      <c r="C20" s="2"/>
      <c r="D20" s="1"/>
      <c r="E20" s="7"/>
      <c r="F20" s="1"/>
      <c r="G20" s="1"/>
      <c r="H20" s="1"/>
      <c r="I20" s="12"/>
    </row>
    <row r="21" spans="1:9" x14ac:dyDescent="0.25">
      <c r="A21" s="2">
        <v>20</v>
      </c>
      <c r="B21" s="1" t="s">
        <v>19</v>
      </c>
      <c r="C21" s="2"/>
      <c r="D21" s="1"/>
      <c r="E21" s="7"/>
      <c r="F21" s="1"/>
      <c r="G21" s="1"/>
      <c r="H21" s="1"/>
      <c r="I21" s="12"/>
    </row>
    <row r="22" spans="1:9" x14ac:dyDescent="0.25">
      <c r="A22" s="2">
        <v>21</v>
      </c>
      <c r="B22" s="1" t="s">
        <v>20</v>
      </c>
      <c r="C22" s="2"/>
      <c r="D22" s="1"/>
      <c r="E22" s="7"/>
      <c r="F22" s="1"/>
      <c r="G22" s="1"/>
      <c r="H22" s="1"/>
      <c r="I22" s="12"/>
    </row>
    <row r="23" spans="1:9" x14ac:dyDescent="0.25">
      <c r="A23" s="2">
        <v>22</v>
      </c>
      <c r="B23" s="1" t="s">
        <v>23</v>
      </c>
      <c r="C23" s="2"/>
      <c r="D23" s="1"/>
      <c r="E23" s="7"/>
      <c r="F23" s="1"/>
      <c r="G23" s="1"/>
      <c r="H23" s="1"/>
      <c r="I23" s="12"/>
    </row>
    <row r="24" spans="1:9" x14ac:dyDescent="0.25">
      <c r="A24" s="2">
        <v>23</v>
      </c>
      <c r="B24" s="1" t="s">
        <v>8</v>
      </c>
      <c r="C24" s="2"/>
      <c r="D24" s="1"/>
      <c r="E24" s="7"/>
      <c r="F24" s="1"/>
      <c r="G24" s="1"/>
      <c r="H24" s="1"/>
      <c r="I24" s="12"/>
    </row>
    <row r="25" spans="1:9" x14ac:dyDescent="0.25">
      <c r="A25" s="2">
        <v>24</v>
      </c>
      <c r="B25" s="1" t="s">
        <v>24</v>
      </c>
      <c r="C25" s="2"/>
      <c r="D25" s="1"/>
      <c r="E25" s="7"/>
      <c r="F25" s="1"/>
      <c r="G25" s="1"/>
      <c r="H25" s="1"/>
      <c r="I25" s="12"/>
    </row>
    <row r="26" spans="1:9" x14ac:dyDescent="0.25">
      <c r="A26" s="2">
        <v>25</v>
      </c>
      <c r="B26" s="1" t="s">
        <v>30</v>
      </c>
      <c r="C26" s="2"/>
      <c r="D26" s="1"/>
      <c r="E26" s="7"/>
      <c r="F26" s="1"/>
      <c r="G26" s="7"/>
      <c r="H26" s="1"/>
      <c r="I26" s="12"/>
    </row>
    <row r="27" spans="1:9" x14ac:dyDescent="0.25">
      <c r="A27" s="2">
        <v>26</v>
      </c>
      <c r="B27" s="1" t="s">
        <v>32</v>
      </c>
      <c r="C27" s="2"/>
      <c r="D27" s="1"/>
      <c r="E27" s="7"/>
      <c r="F27" s="1"/>
      <c r="G27" s="1"/>
      <c r="H27" s="1"/>
      <c r="I27" s="12"/>
    </row>
    <row r="28" spans="1:9" x14ac:dyDescent="0.25">
      <c r="A28" s="2">
        <v>27</v>
      </c>
      <c r="B28" s="1" t="s">
        <v>10</v>
      </c>
      <c r="C28" s="2">
        <v>1</v>
      </c>
      <c r="D28" s="1" t="s">
        <v>137</v>
      </c>
      <c r="E28" s="7" t="s">
        <v>135</v>
      </c>
      <c r="F28" s="1" t="s">
        <v>136</v>
      </c>
      <c r="G28" s="1"/>
      <c r="H28" s="1"/>
      <c r="I28" s="12"/>
    </row>
    <row r="29" spans="1:9" x14ac:dyDescent="0.25">
      <c r="A29" s="2">
        <v>28</v>
      </c>
      <c r="B29" s="1" t="s">
        <v>31</v>
      </c>
      <c r="C29" s="2"/>
      <c r="D29" s="1"/>
      <c r="E29" s="7"/>
      <c r="F29" s="1"/>
      <c r="G29" s="7"/>
      <c r="H29" s="1"/>
      <c r="I29" s="12"/>
    </row>
    <row r="30" spans="1:9" x14ac:dyDescent="0.25">
      <c r="A30" s="2"/>
      <c r="B30" s="1"/>
      <c r="C30" s="2"/>
      <c r="D30" s="1"/>
      <c r="E30" s="7"/>
      <c r="F30" s="1"/>
      <c r="G30" s="7"/>
      <c r="H30" s="1"/>
      <c r="I30" s="12"/>
    </row>
    <row r="31" spans="1:9" x14ac:dyDescent="0.25">
      <c r="A31" s="2"/>
      <c r="B31" s="1"/>
      <c r="C31" s="2"/>
      <c r="D31" s="1"/>
      <c r="E31" s="7"/>
      <c r="F31" s="1"/>
      <c r="G31" s="9"/>
      <c r="H31" s="1"/>
      <c r="I31" s="12"/>
    </row>
    <row r="33" spans="8:9" x14ac:dyDescent="0.25">
      <c r="H33" s="1" t="s">
        <v>37</v>
      </c>
      <c r="I33" s="12"/>
    </row>
    <row r="34" spans="8:9" x14ac:dyDescent="0.25">
      <c r="H34" s="1" t="s">
        <v>38</v>
      </c>
      <c r="I34" s="12">
        <f>SUM(I2:I33)</f>
        <v>0</v>
      </c>
    </row>
  </sheetData>
  <autoFilter ref="A1:I1" xr:uid="{CEAFBAE5-7872-4769-9B4A-5A7E0BBFE69F}">
    <sortState xmlns:xlrd2="http://schemas.microsoft.com/office/spreadsheetml/2017/richdata2" ref="A2:I31">
      <sortCondition ref="A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E65-CB09-481B-B8C5-633876E8C677}">
  <dimension ref="A1:N14"/>
  <sheetViews>
    <sheetView workbookViewId="0">
      <selection activeCell="I18" sqref="I18"/>
    </sheetView>
  </sheetViews>
  <sheetFormatPr defaultRowHeight="15" x14ac:dyDescent="0.25"/>
  <cols>
    <col min="1" max="1" width="15.7109375" bestFit="1" customWidth="1"/>
    <col min="2" max="2" width="10.85546875" customWidth="1"/>
    <col min="4" max="4" width="7" customWidth="1"/>
    <col min="5" max="5" width="11.5703125" bestFit="1" customWidth="1"/>
    <col min="6" max="6" width="14.140625" bestFit="1" customWidth="1"/>
    <col min="10" max="10" width="7.140625" bestFit="1" customWidth="1"/>
    <col min="11" max="11" width="6.42578125" bestFit="1" customWidth="1"/>
    <col min="12" max="13" width="5.5703125" bestFit="1" customWidth="1"/>
    <col min="14" max="14" width="5.7109375" style="14" bestFit="1" customWidth="1"/>
  </cols>
  <sheetData>
    <row r="1" spans="1:14" x14ac:dyDescent="0.25">
      <c r="A1" s="15" t="s">
        <v>97</v>
      </c>
      <c r="B1" s="15" t="s">
        <v>2</v>
      </c>
      <c r="C1" s="15" t="s">
        <v>42</v>
      </c>
      <c r="D1" s="15" t="s">
        <v>41</v>
      </c>
      <c r="E1" s="15" t="s">
        <v>52</v>
      </c>
      <c r="F1" s="15" t="s">
        <v>55</v>
      </c>
      <c r="G1" s="15" t="s">
        <v>43</v>
      </c>
      <c r="H1" s="15" t="s">
        <v>44</v>
      </c>
      <c r="I1" s="15" t="s">
        <v>45</v>
      </c>
      <c r="J1" s="15" t="s">
        <v>59</v>
      </c>
      <c r="K1" s="15" t="s">
        <v>58</v>
      </c>
      <c r="L1" s="15" t="s">
        <v>57</v>
      </c>
      <c r="M1" s="15" t="s">
        <v>56</v>
      </c>
      <c r="N1" s="16" t="s">
        <v>53</v>
      </c>
    </row>
    <row r="2" spans="1:14" x14ac:dyDescent="0.25">
      <c r="A2" s="25" t="s">
        <v>46</v>
      </c>
      <c r="B2" s="17" t="s">
        <v>62</v>
      </c>
      <c r="C2" s="17" t="s">
        <v>47</v>
      </c>
      <c r="D2" s="17" t="s">
        <v>48</v>
      </c>
      <c r="E2" s="17" t="s">
        <v>51</v>
      </c>
      <c r="F2" s="18" t="s">
        <v>54</v>
      </c>
      <c r="G2" s="17" t="s">
        <v>50</v>
      </c>
      <c r="H2" s="17" t="s">
        <v>49</v>
      </c>
      <c r="I2" s="17" t="s">
        <v>61</v>
      </c>
      <c r="J2" s="17" t="s">
        <v>63</v>
      </c>
      <c r="K2" s="17" t="s">
        <v>64</v>
      </c>
      <c r="L2" s="17" t="s">
        <v>65</v>
      </c>
      <c r="M2" s="17" t="s">
        <v>66</v>
      </c>
      <c r="N2" s="19">
        <v>46</v>
      </c>
    </row>
    <row r="3" spans="1:14" x14ac:dyDescent="0.25">
      <c r="A3" s="20" t="s">
        <v>67</v>
      </c>
      <c r="B3" t="s">
        <v>68</v>
      </c>
      <c r="C3" t="s">
        <v>47</v>
      </c>
      <c r="D3" t="s">
        <v>69</v>
      </c>
      <c r="E3" t="s">
        <v>72</v>
      </c>
      <c r="F3" t="s">
        <v>73</v>
      </c>
      <c r="G3" t="s">
        <v>71</v>
      </c>
      <c r="H3" t="s">
        <v>70</v>
      </c>
      <c r="I3" t="s">
        <v>61</v>
      </c>
      <c r="J3" t="s">
        <v>74</v>
      </c>
      <c r="K3" t="s">
        <v>75</v>
      </c>
      <c r="L3" t="s">
        <v>76</v>
      </c>
      <c r="M3" t="s">
        <v>60</v>
      </c>
      <c r="N3" s="21">
        <v>50</v>
      </c>
    </row>
    <row r="4" spans="1:14" x14ac:dyDescent="0.25">
      <c r="A4" s="20" t="s">
        <v>85</v>
      </c>
      <c r="B4" t="s">
        <v>68</v>
      </c>
      <c r="C4" t="s">
        <v>47</v>
      </c>
      <c r="D4" t="s">
        <v>69</v>
      </c>
      <c r="E4" t="s">
        <v>79</v>
      </c>
      <c r="F4" t="s">
        <v>80</v>
      </c>
      <c r="G4" t="s">
        <v>81</v>
      </c>
      <c r="H4" t="s">
        <v>77</v>
      </c>
      <c r="I4" t="s">
        <v>78</v>
      </c>
      <c r="J4" t="s">
        <v>82</v>
      </c>
      <c r="K4" t="s">
        <v>83</v>
      </c>
      <c r="L4" t="s">
        <v>84</v>
      </c>
      <c r="M4" t="s">
        <v>74</v>
      </c>
      <c r="N4" s="21">
        <v>43</v>
      </c>
    </row>
    <row r="5" spans="1:14" x14ac:dyDescent="0.25">
      <c r="A5" s="20" t="s">
        <v>86</v>
      </c>
      <c r="B5" t="s">
        <v>68</v>
      </c>
      <c r="C5" t="s">
        <v>47</v>
      </c>
      <c r="D5" t="s">
        <v>69</v>
      </c>
      <c r="E5" t="s">
        <v>72</v>
      </c>
      <c r="F5" t="s">
        <v>80</v>
      </c>
      <c r="G5" t="s">
        <v>81</v>
      </c>
      <c r="H5" t="s">
        <v>87</v>
      </c>
      <c r="I5" t="s">
        <v>88</v>
      </c>
      <c r="J5" t="s">
        <v>82</v>
      </c>
      <c r="K5" t="s">
        <v>83</v>
      </c>
      <c r="L5" t="s">
        <v>84</v>
      </c>
      <c r="M5" t="s">
        <v>74</v>
      </c>
      <c r="N5" s="21">
        <v>21</v>
      </c>
    </row>
    <row r="6" spans="1:14" x14ac:dyDescent="0.25">
      <c r="A6" s="22" t="s">
        <v>91</v>
      </c>
      <c r="B6" s="23" t="s">
        <v>68</v>
      </c>
      <c r="C6" s="23" t="s">
        <v>47</v>
      </c>
      <c r="D6" s="23" t="s">
        <v>92</v>
      </c>
      <c r="E6" s="23" t="s">
        <v>72</v>
      </c>
      <c r="F6" s="23" t="s">
        <v>89</v>
      </c>
      <c r="G6" s="23" t="s">
        <v>93</v>
      </c>
      <c r="H6" s="23" t="s">
        <v>87</v>
      </c>
      <c r="I6" s="23" t="s">
        <v>88</v>
      </c>
      <c r="J6" s="23" t="s">
        <v>94</v>
      </c>
      <c r="K6" s="23" t="s">
        <v>95</v>
      </c>
      <c r="L6" s="23" t="s">
        <v>90</v>
      </c>
      <c r="M6" s="23" t="s">
        <v>96</v>
      </c>
      <c r="N6" s="24">
        <v>38</v>
      </c>
    </row>
    <row r="14" spans="1:14" x14ac:dyDescent="0.25">
      <c r="J1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7919-408C-42A4-8740-3DE37C4D217C}">
  <dimension ref="A1:N22"/>
  <sheetViews>
    <sheetView tabSelected="1" workbookViewId="0">
      <selection activeCell="K12" sqref="K12"/>
    </sheetView>
  </sheetViews>
  <sheetFormatPr defaultRowHeight="15" x14ac:dyDescent="0.25"/>
  <cols>
    <col min="1" max="1" width="13.7109375" customWidth="1"/>
    <col min="8" max="8" width="9.85546875" customWidth="1"/>
    <col min="10" max="10" width="9.140625" customWidth="1"/>
    <col min="14" max="14" width="14.5703125" customWidth="1"/>
  </cols>
  <sheetData>
    <row r="1" spans="1:14" ht="15.75" thickBot="1" x14ac:dyDescent="0.3">
      <c r="A1" s="40" t="s">
        <v>107</v>
      </c>
      <c r="B1" s="43"/>
      <c r="C1" s="43"/>
      <c r="D1" s="43"/>
      <c r="E1" s="44"/>
      <c r="J1" s="45" t="s">
        <v>138</v>
      </c>
    </row>
    <row r="2" spans="1:14" x14ac:dyDescent="0.25">
      <c r="A2" s="35" t="s">
        <v>117</v>
      </c>
      <c r="E2" s="36"/>
    </row>
    <row r="3" spans="1:14" x14ac:dyDescent="0.25">
      <c r="A3" s="35" t="s">
        <v>100</v>
      </c>
      <c r="B3" t="s">
        <v>101</v>
      </c>
      <c r="E3" s="36"/>
    </row>
    <row r="4" spans="1:14" x14ac:dyDescent="0.25">
      <c r="A4" s="35" t="s">
        <v>102</v>
      </c>
      <c r="B4" t="s">
        <v>48</v>
      </c>
      <c r="C4" t="s">
        <v>105</v>
      </c>
      <c r="E4" s="36"/>
    </row>
    <row r="5" spans="1:14" x14ac:dyDescent="0.25">
      <c r="A5" s="35" t="s">
        <v>104</v>
      </c>
      <c r="B5" t="s">
        <v>103</v>
      </c>
      <c r="C5" t="s">
        <v>106</v>
      </c>
      <c r="E5" s="36"/>
    </row>
    <row r="6" spans="1:14" x14ac:dyDescent="0.25">
      <c r="A6" s="35" t="s">
        <v>111</v>
      </c>
      <c r="B6" t="s">
        <v>109</v>
      </c>
      <c r="C6" t="s">
        <v>110</v>
      </c>
      <c r="E6" s="36"/>
    </row>
    <row r="7" spans="1:14" x14ac:dyDescent="0.25">
      <c r="A7" s="35" t="s">
        <v>108</v>
      </c>
      <c r="B7" t="s">
        <v>112</v>
      </c>
      <c r="E7" s="36"/>
    </row>
    <row r="8" spans="1:14" x14ac:dyDescent="0.25">
      <c r="A8" s="35" t="s">
        <v>113</v>
      </c>
      <c r="B8" t="s">
        <v>114</v>
      </c>
      <c r="E8" s="36"/>
    </row>
    <row r="9" spans="1:14" ht="15.75" thickBot="1" x14ac:dyDescent="0.3">
      <c r="A9" s="37" t="s">
        <v>115</v>
      </c>
      <c r="B9" s="38" t="s">
        <v>116</v>
      </c>
      <c r="C9" s="38"/>
      <c r="D9" s="38"/>
      <c r="E9" s="39"/>
    </row>
    <row r="10" spans="1:14" ht="15.75" thickBot="1" x14ac:dyDescent="0.3"/>
    <row r="11" spans="1:14" ht="15.75" thickBot="1" x14ac:dyDescent="0.3">
      <c r="A11" s="40" t="s">
        <v>118</v>
      </c>
      <c r="B11" s="43"/>
      <c r="C11" s="43"/>
      <c r="D11" s="44"/>
    </row>
    <row r="12" spans="1:14" x14ac:dyDescent="0.25">
      <c r="A12" s="35" t="s">
        <v>119</v>
      </c>
      <c r="D12" s="36"/>
    </row>
    <row r="13" spans="1:14" x14ac:dyDescent="0.25">
      <c r="A13" s="35" t="s">
        <v>120</v>
      </c>
      <c r="D13" s="36"/>
    </row>
    <row r="14" spans="1:14" ht="15.75" thickBot="1" x14ac:dyDescent="0.3">
      <c r="A14" s="37" t="s">
        <v>121</v>
      </c>
      <c r="B14" s="38"/>
      <c r="C14" s="38"/>
      <c r="D14" s="39"/>
    </row>
    <row r="15" spans="1:14" ht="15.75" thickBot="1" x14ac:dyDescent="0.3"/>
    <row r="16" spans="1:14" s="13" customFormat="1" ht="15.75" thickBot="1" x14ac:dyDescent="0.3">
      <c r="A16" s="40" t="s">
        <v>122</v>
      </c>
      <c r="B16" s="41"/>
      <c r="C16" s="41"/>
      <c r="D16" s="41"/>
      <c r="E16" s="41"/>
      <c r="F16" s="41"/>
      <c r="G16" s="41"/>
      <c r="H16" s="42"/>
      <c r="J16" s="27" t="s">
        <v>129</v>
      </c>
      <c r="K16" s="28"/>
      <c r="L16" s="28"/>
      <c r="M16" s="28"/>
      <c r="N16" s="29"/>
    </row>
    <row r="17" spans="1:14" x14ac:dyDescent="0.25">
      <c r="A17" s="35" t="s">
        <v>124</v>
      </c>
      <c r="H17" s="36"/>
      <c r="J17" s="30" t="s">
        <v>134</v>
      </c>
      <c r="K17" s="13"/>
      <c r="L17" s="13"/>
      <c r="M17" s="13"/>
      <c r="N17" s="31"/>
    </row>
    <row r="18" spans="1:14" x14ac:dyDescent="0.25">
      <c r="A18" s="35" t="s">
        <v>127</v>
      </c>
      <c r="H18" s="36"/>
      <c r="J18" s="30" t="s">
        <v>130</v>
      </c>
      <c r="K18" s="13"/>
      <c r="L18" s="13"/>
      <c r="M18" s="13"/>
      <c r="N18" s="31"/>
    </row>
    <row r="19" spans="1:14" x14ac:dyDescent="0.25">
      <c r="A19" s="35" t="s">
        <v>123</v>
      </c>
      <c r="H19" s="36"/>
      <c r="J19" s="30" t="s">
        <v>132</v>
      </c>
      <c r="K19" s="13"/>
      <c r="L19" s="13"/>
      <c r="M19" s="13"/>
      <c r="N19" s="31"/>
    </row>
    <row r="20" spans="1:14" x14ac:dyDescent="0.25">
      <c r="A20" s="35" t="s">
        <v>126</v>
      </c>
      <c r="H20" s="36"/>
      <c r="J20" s="35"/>
      <c r="N20" s="36"/>
    </row>
    <row r="21" spans="1:14" x14ac:dyDescent="0.25">
      <c r="A21" s="35" t="s">
        <v>125</v>
      </c>
      <c r="H21" s="36"/>
      <c r="J21" s="30" t="s">
        <v>131</v>
      </c>
      <c r="K21" s="13"/>
      <c r="L21" s="13"/>
      <c r="M21" s="13"/>
      <c r="N21" s="31"/>
    </row>
    <row r="22" spans="1:14" ht="15.75" thickBot="1" x14ac:dyDescent="0.3">
      <c r="A22" s="37" t="s">
        <v>128</v>
      </c>
      <c r="B22" s="38"/>
      <c r="C22" s="38"/>
      <c r="D22" s="38"/>
      <c r="E22" s="38"/>
      <c r="F22" s="38"/>
      <c r="G22" s="38"/>
      <c r="H22" s="39"/>
      <c r="J22" s="32" t="s">
        <v>133</v>
      </c>
      <c r="K22" s="33"/>
      <c r="L22" s="33"/>
      <c r="M22" s="33"/>
      <c r="N22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Comparison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Wajahatulla Sharif</dc:creator>
  <cp:lastModifiedBy>Wajahatulla Sharif</cp:lastModifiedBy>
  <dcterms:created xsi:type="dcterms:W3CDTF">2025-12-27T17:58:03Z</dcterms:created>
  <dcterms:modified xsi:type="dcterms:W3CDTF">2026-03-08T08:25:45Z</dcterms:modified>
</cp:coreProperties>
</file>